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queryTables/queryTable3.xml" ContentType="application/vnd.openxmlformats-officedocument.spreadsheetml.queryTable+xml"/>
  <Override PartName="/xl/drawings/drawing5.xml" ContentType="application/vnd.openxmlformats-officedocument.drawing+xml"/>
  <Override PartName="/xl/queryTables/queryTable4.xml" ContentType="application/vnd.openxmlformats-officedocument.spreadsheetml.queryTab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480" yWindow="135" windowWidth="10515" windowHeight="8010" activeTab="4"/>
  </bookViews>
  <sheets>
    <sheet name="Capa" sheetId="1" r:id="rId1"/>
    <sheet name="Receita_Mensal" sheetId="2" r:id="rId2"/>
    <sheet name="Top_Categorias" sheetId="3" r:id="rId3"/>
    <sheet name="Tabela_regiao" sheetId="6" r:id="rId4"/>
    <sheet name="Entrega_por_Estado" sheetId="4" r:id="rId5"/>
    <sheet name="Atraso_vs_Satisfação" sheetId="5" r:id="rId6"/>
  </sheets>
  <definedNames>
    <definedName name="atraso_satisfacao.csv" localSheetId="5">Atraso_vs_Satisfação!$A$1:$C$6</definedName>
    <definedName name="entrega_estados.csv" localSheetId="4">Entrega_por_Estado!$A$1:$D$28</definedName>
    <definedName name="receita_mensal.csv" localSheetId="1">Receita_Mensal!$A$1:$C$23</definedName>
    <definedName name="top_categorias.csv" localSheetId="2">Top_Categorias!$A$1:$D$11</definedName>
  </definedNames>
  <calcPr calcId="144525"/>
  <pivotCaches>
    <pivotCache cacheId="2" r:id="rId7"/>
  </pivotCaches>
  <fileRecoveryPr repairLoad="1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</calcChain>
</file>

<file path=xl/connections.xml><?xml version="1.0" encoding="utf-8"?>
<connections xmlns="http://schemas.openxmlformats.org/spreadsheetml/2006/main">
  <connection id="1" name="atraso_satisfacao.csv" type="6" refreshedVersion="4" background="1" saveData="1">
    <textPr codePage="850" sourceFile="C:\Users\Aline S Souza\OneDrive\Documents\projeto_portfolio\arquivo_exportado_\atraso_satisfacao.csv.csv" tab="0" comma="1">
      <textFields count="3">
        <textField/>
        <textField/>
        <textField/>
      </textFields>
    </textPr>
  </connection>
  <connection id="2" name="entrega_estados.csv" type="6" refreshedVersion="4" background="1" saveData="1">
    <textPr codePage="850" sourceFile="C:\Users\Aline S Souza\OneDrive\Documents\projeto_portfolio\arquivo_exportado_\entrega_estados.csv.csv" tab="0" comma="1">
      <textFields count="4">
        <textField/>
        <textField/>
        <textField/>
        <textField/>
      </textFields>
    </textPr>
  </connection>
  <connection id="3" name="receita_mensal.csv" type="6" refreshedVersion="4" background="1" saveData="1">
    <textPr codePage="850" sourceFile="C:\Users\Aline S Souza\OneDrive\Documents\projeto_portfolio\arquivo_exportado_\receita_mensal.csv.csv" decimal="," thousands="." tab="0" comma="1">
      <textFields count="3">
        <textField/>
        <textField/>
        <textField/>
      </textFields>
    </textPr>
  </connection>
  <connection id="4" name="top_categorias.csv" type="6" refreshedVersion="4" background="1" saveData="1">
    <textPr codePage="850" sourceFile="C:\Users\Aline S Souza\OneDrive\Documents\projeto_portfolio\arquivo_exportado_\top_categorias.csv.csv" decimal="," thousands=".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<sst xmlns="http://schemas.openxmlformats.org/spreadsheetml/2006/main" count="121" uniqueCount="90">
  <si>
    <t>Análise Olist E-commerce</t>
  </si>
  <si>
    <t>Módulo 2</t>
  </si>
  <si>
    <r>
      <rPr>
        <b/>
        <sz val="11"/>
        <color theme="3" tint="-0.249977111117893"/>
        <rFont val="Calibri"/>
        <family val="2"/>
        <scheme val="minor"/>
      </rPr>
      <t>Data:</t>
    </r>
    <r>
      <rPr>
        <sz val="11"/>
        <color theme="3" tint="-0.249977111117893"/>
        <rFont val="Calibri"/>
        <family val="2"/>
        <scheme val="minor"/>
      </rPr>
      <t xml:space="preserve"> 15/05/2026</t>
    </r>
  </si>
  <si>
    <r>
      <rPr>
        <b/>
        <sz val="11"/>
        <color theme="3" tint="-0.249977111117893"/>
        <rFont val="Calibri"/>
        <family val="2"/>
        <scheme val="minor"/>
      </rPr>
      <t>Analista</t>
    </r>
    <r>
      <rPr>
        <sz val="11"/>
        <color theme="3" tint="-0.249977111117893"/>
        <rFont val="Calibri"/>
        <family val="2"/>
        <scheme val="minor"/>
      </rPr>
      <t>: Aline S Souza</t>
    </r>
  </si>
  <si>
    <t>mes</t>
  </si>
  <si>
    <t>total_pedidos</t>
  </si>
  <si>
    <t>receita_total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</si>
  <si>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</si>
  <si>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</si>
  <si>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</si>
  <si>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</si>
  <si>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</si>
  <si>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</si>
  <si>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</si>
  <si>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</si>
  <si>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</si>
  <si>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</si>
  <si>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</si>
  <si>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</si>
  <si>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</si>
  <si>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</si>
  <si>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</si>
  <si>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</si>
  <si>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</si>
  <si>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</si>
  <si>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</si>
  <si>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</si>
  <si>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</si>
  <si>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</si>
  <si>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variação %</t>
  </si>
  <si>
    <t>média_móvel_3meses</t>
  </si>
  <si>
    <t>categoria</t>
  </si>
  <si>
    <t>ticket_medio</t>
  </si>
  <si>
    <t>health_beauty</t>
  </si>
  <si>
    <t>watches_gifts</t>
  </si>
  <si>
    <t>bed_bath_table</t>
  </si>
  <si>
    <t>sports_leisure</t>
  </si>
  <si>
    <t>computers_accessories</t>
  </si>
  <si>
    <t>furniture_decor</t>
  </si>
  <si>
    <t>cool_stuff</t>
  </si>
  <si>
    <t>housewares</t>
  </si>
  <si>
    <t>auto</t>
  </si>
  <si>
    <t>garden_tools</t>
  </si>
  <si>
    <t>participação %</t>
  </si>
  <si>
    <t>estado</t>
  </si>
  <si>
    <t>dias_entrega_medio</t>
  </si>
  <si>
    <t>dias_adiantado_medio</t>
  </si>
  <si>
    <t>RR</t>
  </si>
  <si>
    <t>AP</t>
  </si>
  <si>
    <t>AM</t>
  </si>
  <si>
    <t>AL</t>
  </si>
  <si>
    <t>PA</t>
  </si>
  <si>
    <t>MA</t>
  </si>
  <si>
    <t>SE</t>
  </si>
  <si>
    <t>CE</t>
  </si>
  <si>
    <t>AC</t>
  </si>
  <si>
    <t>PB</t>
  </si>
  <si>
    <t>PI</t>
  </si>
  <si>
    <t>RO</t>
  </si>
  <si>
    <t>BA</t>
  </si>
  <si>
    <t>RN</t>
  </si>
  <si>
    <t>PE</t>
  </si>
  <si>
    <t>MT</t>
  </si>
  <si>
    <t>TO</t>
  </si>
  <si>
    <t>ES</t>
  </si>
  <si>
    <t>GO</t>
  </si>
  <si>
    <t>MS</t>
  </si>
  <si>
    <t>RS</t>
  </si>
  <si>
    <t>RJ</t>
  </si>
  <si>
    <t>SC</t>
  </si>
  <si>
    <t>DF</t>
  </si>
  <si>
    <t>PR</t>
  </si>
  <si>
    <t>MG</t>
  </si>
  <si>
    <t>SP</t>
  </si>
  <si>
    <t>regiao</t>
  </si>
  <si>
    <t>Norte</t>
  </si>
  <si>
    <t>Nordeste</t>
  </si>
  <si>
    <t>Centro-Oeste</t>
  </si>
  <si>
    <t>Sudeste</t>
  </si>
  <si>
    <t>Sul</t>
  </si>
  <si>
    <t>Rótulos de Linha</t>
  </si>
  <si>
    <t>Total Geral</t>
  </si>
  <si>
    <t>Média de dias_entrega_medio</t>
  </si>
  <si>
    <t>situacao_entrega</t>
  </si>
  <si>
    <t>nota_media</t>
  </si>
  <si>
    <t>Muito adiantado</t>
  </si>
  <si>
    <t>Adiantado</t>
  </si>
  <si>
    <t>No prazo</t>
  </si>
  <si>
    <t>Leve atraso</t>
  </si>
  <si>
    <t>Atraso grave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</si>
</sst>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70" formatCode="_-[$R$-416]\ * #,##0.00_-;\-[$R$-416]\ * #,##0.00_-;_-[$R$-416]\ * &quot;-&quot;??_-;_-@_-"/>
    <numFmt numFmtId="171" formatCode="0.0"/>
  </numFmts>
  <fonts count="6" x14ac:knownFonts="1">
    <font>
      <sz val="11"/>
      <color theme="1"/>
      <name val="Calibri"/>
      <family val="2"/>
      <scheme val="minor"/>
    </font>
    <font>
      <b/>
      <sz val="24"/>
      <color theme="3" tint="-0.249977111117893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14" fontId="0" fillId="0" borderId="0" xfId="0" applyNumberFormat="1"/>
    <xf numFmtId="1" fontId="0" fillId="0" borderId="0" xfId="0" applyNumberFormat="1"/>
    <xf numFmtId="164" fontId="0" fillId="0" borderId="0" xfId="2" applyNumberFormat="1" applyFont="1"/>
    <xf numFmtId="164" fontId="0" fillId="0" borderId="0" xfId="1" applyNumberFormat="1" applyFont="1"/>
    <xf numFmtId="164" fontId="0" fillId="0" borderId="0" xfId="0" applyNumberFormat="1"/>
    <xf numFmtId="9" fontId="0" fillId="0" borderId="0" xfId="3" applyFont="1"/>
    <xf numFmtId="9" fontId="0" fillId="0" borderId="0" xfId="3" applyNumberFormat="1" applyFont="1"/>
    <xf numFmtId="7" fontId="0" fillId="0" borderId="0" xfId="2" applyNumberFormat="1" applyFont="1"/>
    <xf numFmtId="170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71" fontId="0" fillId="0" borderId="0" xfId="0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6"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</dxfs>
  <tableStyles count="0" defaultTableStyle="TableStyleMedium2" defaultPivotStyle="PivotStyleLight16"/>
  <colors>
    <mruColors>
      <color rgb="FF18901B"/>
      <color rgb="FF153B2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Evolução</a:t>
            </a:r>
            <a:r>
              <a:rPr lang="pt-BR" baseline="0"/>
              <a:t> da receita Mensal - Olist 2016-2018</a:t>
            </a:r>
            <a:endParaRPr lang="pt-BR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Receita_Mensal!$C$1</c:f>
              <c:strCache>
                <c:ptCount val="1"/>
                <c:pt idx="0">
                  <c:v>receita_total</c:v>
                </c:pt>
              </c:strCache>
            </c:strRef>
          </c:tx>
          <c:dPt>
            <c:idx val="6"/>
            <c:bubble3D val="0"/>
            <c:spPr>
              <a:ln>
                <a:solidFill>
                  <a:schemeClr val="accent1"/>
                </a:solidFill>
              </a:ln>
            </c:spPr>
          </c:dPt>
          <c:dPt>
            <c:idx val="12"/>
            <c:marker>
              <c:spPr>
                <a:solidFill>
                  <a:schemeClr val="accent6">
                    <a:lumMod val="75000"/>
                  </a:schemeClr>
                </a:solidFill>
              </c:spPr>
            </c:marker>
            <c:bubble3D val="0"/>
            <c:spPr>
              <a:ln>
                <a:solidFill>
                  <a:schemeClr val="accent6">
                    <a:lumMod val="75000"/>
                  </a:schemeClr>
                </a:solidFill>
              </a:ln>
            </c:spPr>
          </c:dPt>
          <c:cat>
            <c:strRef>
              <c:f>Receita_Mensal!$A$2:$A$23</c:f>
              <c:strCache>
                <c:ptCount val="22"/>
                <c:pt idx="0">
                  <c:v>2016-10</c:v>
                </c:pt>
                <c:pt idx="1">
                  <c:v>2016-12</c:v>
                </c:pt>
                <c:pt idx="2">
                  <c:v>2017-01</c:v>
                </c:pt>
                <c:pt idx="3">
                  <c:v>2017-02</c:v>
                </c:pt>
                <c:pt idx="4">
                  <c:v>2017-03</c:v>
                </c:pt>
                <c:pt idx="5">
                  <c:v>2017-04</c:v>
                </c:pt>
                <c:pt idx="6">
                  <c:v>2017-05</c:v>
                </c:pt>
                <c:pt idx="7">
                  <c:v>2017-06</c:v>
                </c:pt>
                <c:pt idx="8">
                  <c:v>2017-07</c:v>
                </c:pt>
                <c:pt idx="9">
                  <c:v>2017-08</c:v>
                </c:pt>
                <c:pt idx="10">
                  <c:v>2017-09</c:v>
                </c:pt>
                <c:pt idx="11">
                  <c:v>2017-10</c:v>
                </c:pt>
                <c:pt idx="12">
                  <c:v>2017-11</c:v>
                </c:pt>
                <c:pt idx="13">
                  <c:v>2017-12</c:v>
                </c:pt>
                <c:pt idx="14">
                  <c:v>2018-01</c:v>
                </c:pt>
                <c:pt idx="15">
                  <c:v>2018-02</c:v>
                </c:pt>
                <c:pt idx="16">
                  <c:v>2018-03</c:v>
                </c:pt>
                <c:pt idx="17">
                  <c:v>2018-04</c:v>
                </c:pt>
                <c:pt idx="18">
                  <c:v>2018-05</c:v>
                </c:pt>
                <c:pt idx="19">
                  <c:v>2018-06</c:v>
                </c:pt>
                <c:pt idx="20">
                  <c:v>2018-07</c:v>
                </c:pt>
                <c:pt idx="21">
                  <c:v>2018-08</c:v>
                </c:pt>
              </c:strCache>
            </c:strRef>
          </c:cat>
          <c:val>
            <c:numRef>
              <c:f>Receita_Mensal!$C$2:$C$23</c:f>
              <c:numCache>
                <c:formatCode>"R$"\ #,##0.00</c:formatCode>
                <c:ptCount val="22"/>
                <c:pt idx="0">
                  <c:v>46566.71</c:v>
                </c:pt>
                <c:pt idx="1">
                  <c:v>19.62</c:v>
                </c:pt>
                <c:pt idx="2">
                  <c:v>127545.67</c:v>
                </c:pt>
                <c:pt idx="3">
                  <c:v>271298.65000000002</c:v>
                </c:pt>
                <c:pt idx="4">
                  <c:v>414369.39</c:v>
                </c:pt>
                <c:pt idx="5">
                  <c:v>390952.18</c:v>
                </c:pt>
                <c:pt idx="6">
                  <c:v>567066.73</c:v>
                </c:pt>
                <c:pt idx="7">
                  <c:v>490225.6</c:v>
                </c:pt>
                <c:pt idx="8">
                  <c:v>566403.93000000005</c:v>
                </c:pt>
                <c:pt idx="9">
                  <c:v>646000.61</c:v>
                </c:pt>
                <c:pt idx="10">
                  <c:v>701169.99</c:v>
                </c:pt>
                <c:pt idx="11">
                  <c:v>751140.27</c:v>
                </c:pt>
                <c:pt idx="12">
                  <c:v>1153528.05</c:v>
                </c:pt>
                <c:pt idx="13">
                  <c:v>843199.17</c:v>
                </c:pt>
                <c:pt idx="14">
                  <c:v>1078606.8600000001</c:v>
                </c:pt>
                <c:pt idx="15">
                  <c:v>966510.88</c:v>
                </c:pt>
                <c:pt idx="16">
                  <c:v>1120678</c:v>
                </c:pt>
                <c:pt idx="17">
                  <c:v>1132933.95</c:v>
                </c:pt>
                <c:pt idx="18">
                  <c:v>1128836.69</c:v>
                </c:pt>
                <c:pt idx="19">
                  <c:v>1012090.68</c:v>
                </c:pt>
                <c:pt idx="20">
                  <c:v>1027903.86</c:v>
                </c:pt>
                <c:pt idx="21">
                  <c:v>985414.28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39360"/>
        <c:axId val="183440896"/>
      </c:lineChart>
      <c:catAx>
        <c:axId val="183439360"/>
        <c:scaling>
          <c:orientation val="minMax"/>
        </c:scaling>
        <c:delete val="0"/>
        <c:axPos val="b"/>
        <c:majorTickMark val="out"/>
        <c:minorTickMark val="none"/>
        <c:tickLblPos val="nextTo"/>
        <c:crossAx val="183440896"/>
        <c:crosses val="autoZero"/>
        <c:auto val="1"/>
        <c:lblAlgn val="ctr"/>
        <c:lblOffset val="100"/>
        <c:noMultiLvlLbl val="0"/>
      </c:catAx>
      <c:valAx>
        <c:axId val="183440896"/>
        <c:scaling>
          <c:orientation val="minMax"/>
        </c:scaling>
        <c:delete val="0"/>
        <c:axPos val="l"/>
        <c:majorGridlines/>
        <c:numFmt formatCode="&quot;R$&quot;\ #,##0.00" sourceLinked="0"/>
        <c:majorTickMark val="out"/>
        <c:minorTickMark val="none"/>
        <c:tickLblPos val="nextTo"/>
        <c:crossAx val="183439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Top</a:t>
            </a:r>
            <a:r>
              <a:rPr lang="pt-BR" baseline="0"/>
              <a:t> 10 Categorias por Receitas - Olist</a:t>
            </a:r>
            <a:endParaRPr lang="pt-BR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Top_Categorias!$C$1</c:f>
              <c:strCache>
                <c:ptCount val="1"/>
                <c:pt idx="0">
                  <c:v>receita_total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cat>
            <c:strRef>
              <c:f>Top_Categorias!$A$2:$A$11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cool_stuff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Top_Categorias!$C$2:$C$11</c:f>
              <c:numCache>
                <c:formatCode>"R$"#,##0.00_);\("R$"#,##0.00\)</c:formatCode>
                <c:ptCount val="10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636992"/>
        <c:axId val="219239168"/>
      </c:barChart>
      <c:catAx>
        <c:axId val="215636992"/>
        <c:scaling>
          <c:orientation val="maxMin"/>
        </c:scaling>
        <c:delete val="0"/>
        <c:axPos val="l"/>
        <c:majorTickMark val="out"/>
        <c:minorTickMark val="none"/>
        <c:tickLblPos val="nextTo"/>
        <c:crossAx val="219239168"/>
        <c:crosses val="autoZero"/>
        <c:auto val="1"/>
        <c:lblAlgn val="ctr"/>
        <c:lblOffset val="100"/>
        <c:noMultiLvlLbl val="0"/>
      </c:catAx>
      <c:valAx>
        <c:axId val="219239168"/>
        <c:scaling>
          <c:orientation val="minMax"/>
        </c:scaling>
        <c:delete val="0"/>
        <c:axPos val="t"/>
        <c:majorGridlines/>
        <c:numFmt formatCode="&quot;R$&quot;#,##0.00_);\(&quot;R$&quot;#,##0.00\)" sourceLinked="1"/>
        <c:majorTickMark val="out"/>
        <c:minorTickMark val="none"/>
        <c:tickLblPos val="nextTo"/>
        <c:crossAx val="215636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Top_Categorias!$D$1</c:f>
              <c:strCache>
                <c:ptCount val="1"/>
                <c:pt idx="0">
                  <c:v>ticket_medio</c:v>
                </c:pt>
              </c:strCache>
            </c:strRef>
          </c:tx>
          <c:spPr>
            <a:ln w="28575">
              <a:noFill/>
            </a:ln>
          </c:spPr>
          <c:xVal>
            <c:numRef>
              <c:f>Top_Categorias!$B$2:$B$11</c:f>
              <c:numCache>
                <c:formatCode>General</c:formatCode>
                <c:ptCount val="10"/>
                <c:pt idx="0">
                  <c:v>8836</c:v>
                </c:pt>
                <c:pt idx="1">
                  <c:v>5624</c:v>
                </c:pt>
                <c:pt idx="2">
                  <c:v>9417</c:v>
                </c:pt>
                <c:pt idx="3">
                  <c:v>7720</c:v>
                </c:pt>
                <c:pt idx="4">
                  <c:v>6689</c:v>
                </c:pt>
                <c:pt idx="5">
                  <c:v>6449</c:v>
                </c:pt>
                <c:pt idx="6">
                  <c:v>3632</c:v>
                </c:pt>
                <c:pt idx="7">
                  <c:v>5884</c:v>
                </c:pt>
                <c:pt idx="8">
                  <c:v>3897</c:v>
                </c:pt>
                <c:pt idx="9">
                  <c:v>3518</c:v>
                </c:pt>
              </c:numCache>
            </c:numRef>
          </c:xVal>
          <c:yVal>
            <c:numRef>
              <c:f>Top_Categorias!$D$2:$D$11</c:f>
              <c:numCache>
                <c:formatCode>_-[$R$-416]\ * #,##0.00_-;\-[$R$-416]\ * #,##0.00_-;_-[$R$-416]\ * "-"??_-;_-@_-</c:formatCode>
                <c:ptCount val="10"/>
                <c:pt idx="0">
                  <c:v>130.16</c:v>
                </c:pt>
                <c:pt idx="1">
                  <c:v>201.14</c:v>
                </c:pt>
                <c:pt idx="2">
                  <c:v>93.3</c:v>
                </c:pt>
                <c:pt idx="3">
                  <c:v>114.34</c:v>
                </c:pt>
                <c:pt idx="4">
                  <c:v>116.51</c:v>
                </c:pt>
                <c:pt idx="5">
                  <c:v>87.56</c:v>
                </c:pt>
                <c:pt idx="6">
                  <c:v>167.36</c:v>
                </c:pt>
                <c:pt idx="7">
                  <c:v>90.79</c:v>
                </c:pt>
                <c:pt idx="8">
                  <c:v>139.96</c:v>
                </c:pt>
                <c:pt idx="9">
                  <c:v>111.63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702912"/>
        <c:axId val="215699840"/>
      </c:scatterChart>
      <c:valAx>
        <c:axId val="21570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5699840"/>
        <c:crosses val="autoZero"/>
        <c:crossBetween val="midCat"/>
      </c:valAx>
      <c:valAx>
        <c:axId val="215699840"/>
        <c:scaling>
          <c:orientation val="minMax"/>
        </c:scaling>
        <c:delete val="0"/>
        <c:axPos val="l"/>
        <c:majorGridlines/>
        <c:numFmt formatCode="_-[$R$-416]\ * #,##0.00_-;\-[$R$-416]\ * #,##0.00_-;_-[$R$-416]\ * &quot;-&quot;??_-;_-@_-" sourceLinked="1"/>
        <c:majorTickMark val="out"/>
        <c:minorTickMark val="none"/>
        <c:tickLblPos val="nextTo"/>
        <c:crossAx val="2157029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[modulo2_excel_olist.xlsx]Tabela_regiao!Tabela dinâmica1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t-BR"/>
              <a:t>Tempo</a:t>
            </a:r>
            <a:r>
              <a:rPr lang="pt-BR" baseline="0"/>
              <a:t> Médio de Entrega por Região - Olist</a:t>
            </a:r>
            <a:endParaRPr lang="pt-BR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tx2">
              <a:lumMod val="50000"/>
            </a:schemeClr>
          </a:solidFill>
        </c:spPr>
        <c:marker>
          <c:symbol val="none"/>
        </c:marker>
      </c:pivotFmt>
      <c:pivotFmt>
        <c:idx val="1"/>
        <c:spPr>
          <a:solidFill>
            <a:srgbClr val="C00000"/>
          </a:solidFill>
        </c:spPr>
      </c:pivotFmt>
      <c:pivotFmt>
        <c:idx val="2"/>
        <c:spPr>
          <a:solidFill>
            <a:srgbClr val="00B050"/>
          </a:solidFill>
        </c:spPr>
      </c:pivotFmt>
      <c:pivotFmt>
        <c:idx val="3"/>
        <c:spPr>
          <a:solidFill>
            <a:srgbClr val="00B050"/>
          </a:solidFill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Tabela_regiao!$B$3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</c:spPr>
          </c:dPt>
          <c:cat>
            <c:strRef>
              <c:f>Tabela_regiao!$A$4:$A$9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Tabela_regiao!$B$4:$B$9</c:f>
              <c:numCache>
                <c:formatCode>0.0</c:formatCode>
                <c:ptCount val="5"/>
                <c:pt idx="0">
                  <c:v>15.125</c:v>
                </c:pt>
                <c:pt idx="1">
                  <c:v>20.177777777777777</c:v>
                </c:pt>
                <c:pt idx="2">
                  <c:v>23.099999999999998</c:v>
                </c:pt>
                <c:pt idx="3">
                  <c:v>12.475000000000001</c:v>
                </c:pt>
                <c:pt idx="4">
                  <c:v>13.6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482944"/>
        <c:axId val="220485888"/>
      </c:barChart>
      <c:catAx>
        <c:axId val="220482944"/>
        <c:scaling>
          <c:orientation val="minMax"/>
        </c:scaling>
        <c:delete val="0"/>
        <c:axPos val="l"/>
        <c:majorTickMark val="out"/>
        <c:minorTickMark val="none"/>
        <c:tickLblPos val="nextTo"/>
        <c:crossAx val="220485888"/>
        <c:crosses val="autoZero"/>
        <c:auto val="1"/>
        <c:lblAlgn val="ctr"/>
        <c:lblOffset val="100"/>
        <c:noMultiLvlLbl val="0"/>
      </c:catAx>
      <c:valAx>
        <c:axId val="220485888"/>
        <c:scaling>
          <c:orientation val="minMax"/>
        </c:scaling>
        <c:delete val="0"/>
        <c:axPos val="b"/>
        <c:majorGridlines/>
        <c:numFmt formatCode="0.0" sourceLinked="1"/>
        <c:majorTickMark val="out"/>
        <c:minorTickMark val="none"/>
        <c:tickLblPos val="nextTo"/>
        <c:crossAx val="220482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Impacto</a:t>
            </a:r>
            <a:r>
              <a:rPr lang="pt-BR" baseline="0"/>
              <a:t> do Atraso na Satisfação do cliente - Olist</a:t>
            </a:r>
            <a:endParaRPr lang="pt-BR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Atraso_vs_Satisfação!$C$1</c:f>
              <c:strCache>
                <c:ptCount val="1"/>
                <c:pt idx="0">
                  <c:v>nota_media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153B29"/>
              </a:solidFill>
            </c:spPr>
          </c:dPt>
          <c:dPt>
            <c:idx val="1"/>
            <c:invertIfNegative val="0"/>
            <c:bubble3D val="0"/>
            <c:spPr>
              <a:solidFill>
                <a:srgbClr val="18901B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Atraso_vs_Satisfação!$A$2:$A$6</c:f>
              <c:strCache>
                <c:ptCount val="5"/>
                <c:pt idx="0">
                  <c:v>Muito adiantado</c:v>
                </c:pt>
                <c:pt idx="1">
                  <c:v>Adiantado</c:v>
                </c:pt>
                <c:pt idx="2">
                  <c:v>No prazo</c:v>
                </c:pt>
                <c:pt idx="3">
                  <c:v>Leve atraso</c:v>
                </c:pt>
                <c:pt idx="4">
                  <c:v>Atraso grave</c:v>
                </c:pt>
              </c:strCache>
            </c:strRef>
          </c:cat>
          <c:val>
            <c:numRef>
              <c:f>Atraso_vs_Satisfação!$C$2:$C$6</c:f>
              <c:numCache>
                <c:formatCode>General</c:formatCode>
                <c:ptCount val="5"/>
                <c:pt idx="0">
                  <c:v>4.3</c:v>
                </c:pt>
                <c:pt idx="1">
                  <c:v>4.12</c:v>
                </c:pt>
                <c:pt idx="2">
                  <c:v>4.09</c:v>
                </c:pt>
                <c:pt idx="3">
                  <c:v>3.27</c:v>
                </c:pt>
                <c:pt idx="4">
                  <c:v>1.85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6372736"/>
        <c:axId val="216581248"/>
      </c:barChart>
      <c:catAx>
        <c:axId val="216372736"/>
        <c:scaling>
          <c:orientation val="minMax"/>
        </c:scaling>
        <c:delete val="0"/>
        <c:axPos val="b"/>
        <c:majorTickMark val="out"/>
        <c:minorTickMark val="none"/>
        <c:tickLblPos val="nextTo"/>
        <c:crossAx val="216581248"/>
        <c:crosses val="autoZero"/>
        <c:auto val="1"/>
        <c:lblAlgn val="ctr"/>
        <c:lblOffset val="100"/>
        <c:noMultiLvlLbl val="0"/>
      </c:catAx>
      <c:valAx>
        <c:axId val="216581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6372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Entrega_por_Estado!A1"/><Relationship Id="rId2" Type="http://schemas.openxmlformats.org/officeDocument/2006/relationships/hyperlink" Target="#Top_Categorias!A1"/><Relationship Id="rId1" Type="http://schemas.openxmlformats.org/officeDocument/2006/relationships/hyperlink" Target="#Receita_Mensal!A1"/><Relationship Id="rId5" Type="http://schemas.openxmlformats.org/officeDocument/2006/relationships/image" Target="../media/image1.png"/><Relationship Id="rId4" Type="http://schemas.openxmlformats.org/officeDocument/2006/relationships/hyperlink" Target="#Atraso_vs_Satisfa&#231;&#227;o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8</xdr:row>
      <xdr:rowOff>28575</xdr:rowOff>
    </xdr:from>
    <xdr:to>
      <xdr:col>4</xdr:col>
      <xdr:colOff>0</xdr:colOff>
      <xdr:row>9</xdr:row>
      <xdr:rowOff>180974</xdr:rowOff>
    </xdr:to>
    <xdr:sp macro="" textlink="">
      <xdr:nvSpPr>
        <xdr:cNvPr id="3" name="Retângulo de cantos arredondados 2">
          <a:hlinkClick xmlns:r="http://schemas.openxmlformats.org/officeDocument/2006/relationships" r:id="rId1"/>
        </xdr:cNvPr>
        <xdr:cNvSpPr/>
      </xdr:nvSpPr>
      <xdr:spPr>
        <a:xfrm>
          <a:off x="600075" y="1809750"/>
          <a:ext cx="1838325" cy="342899"/>
        </a:xfrm>
        <a:prstGeom prst="roundRect">
          <a:avLst>
            <a:gd name="adj" fmla="val 1562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Receita</a:t>
          </a:r>
          <a:r>
            <a:rPr lang="pt-BR" sz="1100" baseline="0"/>
            <a:t> Mensal</a:t>
          </a:r>
          <a:endParaRPr lang="pt-BR" sz="1100"/>
        </a:p>
      </xdr:txBody>
    </xdr:sp>
    <xdr:clientData/>
  </xdr:twoCellAnchor>
  <xdr:twoCellAnchor>
    <xdr:from>
      <xdr:col>0</xdr:col>
      <xdr:colOff>600075</xdr:colOff>
      <xdr:row>11</xdr:row>
      <xdr:rowOff>28574</xdr:rowOff>
    </xdr:from>
    <xdr:to>
      <xdr:col>3</xdr:col>
      <xdr:colOff>581025</xdr:colOff>
      <xdr:row>12</xdr:row>
      <xdr:rowOff>180974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600075" y="2381249"/>
          <a:ext cx="1809750" cy="342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Top Categorias</a:t>
          </a:r>
        </a:p>
      </xdr:txBody>
    </xdr:sp>
    <xdr:clientData/>
  </xdr:twoCellAnchor>
  <xdr:twoCellAnchor>
    <xdr:from>
      <xdr:col>0</xdr:col>
      <xdr:colOff>600075</xdr:colOff>
      <xdr:row>14</xdr:row>
      <xdr:rowOff>28574</xdr:rowOff>
    </xdr:from>
    <xdr:to>
      <xdr:col>3</xdr:col>
      <xdr:colOff>590550</xdr:colOff>
      <xdr:row>15</xdr:row>
      <xdr:rowOff>180975</xdr:rowOff>
    </xdr:to>
    <xdr:sp macro="" textlink="">
      <xdr:nvSpPr>
        <xdr:cNvPr id="6" name="Retângulo de cantos arredondados 5">
          <a:hlinkClick xmlns:r="http://schemas.openxmlformats.org/officeDocument/2006/relationships" r:id="rId3"/>
        </xdr:cNvPr>
        <xdr:cNvSpPr/>
      </xdr:nvSpPr>
      <xdr:spPr>
        <a:xfrm>
          <a:off x="600075" y="2952749"/>
          <a:ext cx="1819275" cy="3429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Entrega</a:t>
          </a:r>
          <a:r>
            <a:rPr lang="pt-BR" sz="1100" baseline="0"/>
            <a:t> por Estado</a:t>
          </a:r>
          <a:endParaRPr lang="pt-BR" sz="1100"/>
        </a:p>
      </xdr:txBody>
    </xdr:sp>
    <xdr:clientData/>
  </xdr:twoCellAnchor>
  <xdr:twoCellAnchor>
    <xdr:from>
      <xdr:col>0</xdr:col>
      <xdr:colOff>600075</xdr:colOff>
      <xdr:row>17</xdr:row>
      <xdr:rowOff>28575</xdr:rowOff>
    </xdr:from>
    <xdr:to>
      <xdr:col>4</xdr:col>
      <xdr:colOff>9524</xdr:colOff>
      <xdr:row>19</xdr:row>
      <xdr:rowOff>1</xdr:rowOff>
    </xdr:to>
    <xdr:sp macro="" textlink="">
      <xdr:nvSpPr>
        <xdr:cNvPr id="7" name="Retângulo de cantos arredondados 6">
          <a:hlinkClick xmlns:r="http://schemas.openxmlformats.org/officeDocument/2006/relationships" r:id="rId4"/>
        </xdr:cNvPr>
        <xdr:cNvSpPr/>
      </xdr:nvSpPr>
      <xdr:spPr>
        <a:xfrm>
          <a:off x="600075" y="3524250"/>
          <a:ext cx="1847849" cy="35242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Atraso vs satisfação</a:t>
          </a:r>
        </a:p>
      </xdr:txBody>
    </xdr:sp>
    <xdr:clientData/>
  </xdr:twoCellAnchor>
  <xdr:twoCellAnchor editAs="oneCell">
    <xdr:from>
      <xdr:col>17</xdr:col>
      <xdr:colOff>85725</xdr:colOff>
      <xdr:row>0</xdr:row>
      <xdr:rowOff>0</xdr:rowOff>
    </xdr:from>
    <xdr:to>
      <xdr:col>20</xdr:col>
      <xdr:colOff>190500</xdr:colOff>
      <xdr:row>8</xdr:row>
      <xdr:rowOff>142875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0"/>
          <a:ext cx="1933575" cy="1924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2</xdr:row>
      <xdr:rowOff>138112</xdr:rowOff>
    </xdr:from>
    <xdr:to>
      <xdr:col>16</xdr:col>
      <xdr:colOff>123825</xdr:colOff>
      <xdr:row>21</xdr:row>
      <xdr:rowOff>95250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265643</xdr:colOff>
      <xdr:row>0</xdr:row>
      <xdr:rowOff>105834</xdr:rowOff>
    </xdr:from>
    <xdr:to>
      <xdr:col>16</xdr:col>
      <xdr:colOff>444501</xdr:colOff>
      <xdr:row>19</xdr:row>
      <xdr:rowOff>56092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508000</xdr:colOff>
      <xdr:row>11</xdr:row>
      <xdr:rowOff>184150</xdr:rowOff>
    </xdr:from>
    <xdr:to>
      <xdr:col>5</xdr:col>
      <xdr:colOff>433916</xdr:colOff>
      <xdr:row>27</xdr:row>
      <xdr:rowOff>126999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</xdr:row>
      <xdr:rowOff>104775</xdr:rowOff>
    </xdr:from>
    <xdr:to>
      <xdr:col>12</xdr:col>
      <xdr:colOff>104775</xdr:colOff>
      <xdr:row>18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342899</xdr:colOff>
      <xdr:row>0</xdr:row>
      <xdr:rowOff>142874</xdr:rowOff>
    </xdr:from>
    <xdr:to>
      <xdr:col>13</xdr:col>
      <xdr:colOff>466724</xdr:colOff>
      <xdr:row>18</xdr:row>
      <xdr:rowOff>95250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ine S Souza" refreshedDate="46164.713744675922" createdVersion="4" refreshedVersion="4" minRefreshableVersion="3" recordCount="27">
  <cacheSource type="worksheet">
    <worksheetSource ref="A1:E28" sheet="Entrega_por_Estado"/>
  </cacheSource>
  <cacheFields count="5">
    <cacheField name="estado" numFmtId="0">
      <sharedItems/>
    </cacheField>
    <cacheField name="total_pedidos" numFmtId="0">
      <sharedItems containsSemiMixedTypes="0" containsString="0" containsNumber="1" containsInteger="1" minValue="41" maxValue="40495"/>
    </cacheField>
    <cacheField name="dias_entrega_medio" numFmtId="0">
      <sharedItems containsSemiMixedTypes="0" containsString="0" containsNumber="1" minValue="8.3000000000000007" maxValue="29"/>
    </cacheField>
    <cacheField name="dias_adiantado_medio" numFmtId="0">
      <sharedItems containsSemiMixedTypes="0" containsString="0" containsNumber="1" minValue="7.9" maxValue="19.8"/>
    </cacheField>
    <cacheField name="regiao" numFmtId="0">
      <sharedItems count="5">
        <s v="Norte"/>
        <s v="Nordeste"/>
        <s v="Centro-Oeste"/>
        <s v="Sudeste"/>
        <s v="Su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s v="RR"/>
    <n v="41"/>
    <n v="29"/>
    <n v="16.399999999999999"/>
    <x v="0"/>
  </r>
  <r>
    <s v="AP"/>
    <n v="67"/>
    <n v="26.7"/>
    <n v="18.7"/>
    <x v="0"/>
  </r>
  <r>
    <s v="AM"/>
    <n v="145"/>
    <n v="26"/>
    <n v="18.600000000000001"/>
    <x v="0"/>
  </r>
  <r>
    <s v="AL"/>
    <n v="397"/>
    <n v="24"/>
    <n v="7.9"/>
    <x v="1"/>
  </r>
  <r>
    <s v="PA"/>
    <n v="946"/>
    <n v="23.3"/>
    <n v="13.2"/>
    <x v="0"/>
  </r>
  <r>
    <s v="MA"/>
    <n v="717"/>
    <n v="21.1"/>
    <n v="8.8000000000000007"/>
    <x v="1"/>
  </r>
  <r>
    <s v="SE"/>
    <n v="335"/>
    <n v="21"/>
    <n v="9.1999999999999993"/>
    <x v="1"/>
  </r>
  <r>
    <s v="CE"/>
    <n v="1279"/>
    <n v="20.8"/>
    <n v="10"/>
    <x v="1"/>
  </r>
  <r>
    <s v="AC"/>
    <n v="80"/>
    <n v="20.6"/>
    <n v="19.8"/>
    <x v="0"/>
  </r>
  <r>
    <s v="PB"/>
    <n v="517"/>
    <n v="20"/>
    <n v="12.4"/>
    <x v="1"/>
  </r>
  <r>
    <s v="PI"/>
    <n v="476"/>
    <n v="19"/>
    <n v="10.5"/>
    <x v="1"/>
  </r>
  <r>
    <s v="RO"/>
    <n v="243"/>
    <n v="18.899999999999999"/>
    <n v="19.100000000000001"/>
    <x v="0"/>
  </r>
  <r>
    <s v="BA"/>
    <n v="3256"/>
    <n v="18.899999999999999"/>
    <n v="9.9"/>
    <x v="1"/>
  </r>
  <r>
    <s v="RN"/>
    <n v="474"/>
    <n v="18.8"/>
    <n v="12.8"/>
    <x v="1"/>
  </r>
  <r>
    <s v="PE"/>
    <n v="1593"/>
    <n v="18"/>
    <n v="12.4"/>
    <x v="1"/>
  </r>
  <r>
    <s v="MT"/>
    <n v="886"/>
    <n v="17.600000000000001"/>
    <n v="13.4"/>
    <x v="2"/>
  </r>
  <r>
    <s v="TO"/>
    <n v="274"/>
    <n v="17.2"/>
    <n v="11.3"/>
    <x v="0"/>
  </r>
  <r>
    <s v="ES"/>
    <n v="1995"/>
    <n v="15.3"/>
    <n v="9.6"/>
    <x v="3"/>
  </r>
  <r>
    <s v="GO"/>
    <n v="1957"/>
    <n v="15.2"/>
    <n v="11.3"/>
    <x v="2"/>
  </r>
  <r>
    <s v="MS"/>
    <n v="701"/>
    <n v="15.2"/>
    <n v="10.199999999999999"/>
    <x v="2"/>
  </r>
  <r>
    <s v="RS"/>
    <n v="5344"/>
    <n v="14.8"/>
    <n v="13"/>
    <x v="4"/>
  </r>
  <r>
    <s v="RJ"/>
    <n v="12353"/>
    <n v="14.8"/>
    <n v="10.9"/>
    <x v="3"/>
  </r>
  <r>
    <s v="SC"/>
    <n v="3547"/>
    <n v="14.5"/>
    <n v="10.6"/>
    <x v="4"/>
  </r>
  <r>
    <s v="DF"/>
    <n v="2080"/>
    <n v="12.5"/>
    <n v="11.1"/>
    <x v="2"/>
  </r>
  <r>
    <s v="PR"/>
    <n v="4923"/>
    <n v="11.5"/>
    <n v="12.4"/>
    <x v="4"/>
  </r>
  <r>
    <s v="MG"/>
    <n v="11355"/>
    <n v="11.5"/>
    <n v="12.3"/>
    <x v="3"/>
  </r>
  <r>
    <s v="SP"/>
    <n v="40495"/>
    <n v="8.3000000000000007"/>
    <n v="10.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5">
    <pivotField showAll="0"/>
    <pivotField showAll="0"/>
    <pivotField dataField="1"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édia de dias_entrega_medio" fld="2" subtotal="average" baseField="4" baseItem="0"/>
  </dataFields>
  <formats count="6">
    <format dxfId="5">
      <pivotArea collapsedLevelsAreSubtotals="1" fieldPosition="0">
        <references count="1">
          <reference field="4" count="1">
            <x v="1"/>
          </reference>
        </references>
      </pivotArea>
    </format>
    <format dxfId="4">
      <pivotArea collapsedLevelsAreSubtotals="1" fieldPosition="0">
        <references count="1">
          <reference field="4" count="1">
            <x v="0"/>
          </reference>
        </references>
      </pivotArea>
    </format>
    <format dxfId="3">
      <pivotArea collapsedLevelsAreSubtotals="1" fieldPosition="0">
        <references count="1">
          <reference field="4" count="1">
            <x v="2"/>
          </reference>
        </references>
      </pivotArea>
    </format>
    <format dxfId="2">
      <pivotArea collapsedLevelsAreSubtotals="1" fieldPosition="0">
        <references count="1">
          <reference field="4" count="1">
            <x v="3"/>
          </reference>
        </references>
      </pivotArea>
    </format>
    <format dxfId="1">
      <pivotArea collapsedLevelsAreSubtotals="1" fieldPosition="0">
        <references count="1">
          <reference field="4" count="1">
            <x v="4"/>
          </reference>
        </references>
      </pivotArea>
    </format>
    <format dxfId="0">
      <pivotArea grandRow="1"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receita_mensal.csv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op_categorias.csv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ntrega_estados.csv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atraso_satisfacao.csv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showGridLines="0" workbookViewId="0">
      <selection activeCell="N24" sqref="N24"/>
    </sheetView>
  </sheetViews>
  <sheetFormatPr defaultRowHeight="15" x14ac:dyDescent="0.25"/>
  <cols>
    <col min="4" max="4" width="9.140625" customWidth="1"/>
  </cols>
  <sheetData>
    <row r="2" spans="1:5" ht="31.5" x14ac:dyDescent="0.5">
      <c r="B2" s="1" t="s">
        <v>0</v>
      </c>
    </row>
    <row r="3" spans="1:5" ht="18.75" x14ac:dyDescent="0.3">
      <c r="B3" s="2" t="s">
        <v>1</v>
      </c>
    </row>
    <row r="5" spans="1:5" x14ac:dyDescent="0.25">
      <c r="B5" s="3" t="s">
        <v>3</v>
      </c>
    </row>
    <row r="6" spans="1:5" x14ac:dyDescent="0.25">
      <c r="B6" s="3" t="s">
        <v>2</v>
      </c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7" spans="1:5" x14ac:dyDescent="0.25">
      <c r="A17" s="4"/>
      <c r="B17" s="4"/>
      <c r="C17" s="4"/>
      <c r="D17" s="4"/>
      <c r="E17" s="4"/>
    </row>
    <row r="18" spans="1:5" x14ac:dyDescent="0.25">
      <c r="A18" s="4"/>
      <c r="B18" s="4"/>
      <c r="C18" s="4"/>
      <c r="D18" s="4"/>
      <c r="E18" s="4"/>
    </row>
    <row r="19" spans="1:5" x14ac:dyDescent="0.25">
      <c r="A19" s="4"/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4"/>
      <c r="B21" s="4"/>
      <c r="C21" s="4"/>
      <c r="D21" s="4"/>
      <c r="E21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24" sqref="H24"/>
    </sheetView>
  </sheetViews>
  <sheetFormatPr defaultRowHeight="15" x14ac:dyDescent="0.25"/>
  <cols>
    <col min="1" max="1" width="7.7109375" style="5" bestFit="1" customWidth="1"/>
    <col min="2" max="2" width="13.42578125" style="6" bestFit="1" customWidth="1"/>
    <col min="3" max="3" width="14.42578125" style="8" bestFit="1" customWidth="1"/>
    <col min="4" max="4" width="10.7109375" style="11" bestFit="1" customWidth="1"/>
    <col min="5" max="5" width="21.140625" bestFit="1" customWidth="1"/>
  </cols>
  <sheetData>
    <row r="1" spans="1:5" x14ac:dyDescent="0.25">
      <c r="A1" s="5" t="s">
        <v>4</v>
      </c>
      <c r="B1" s="6" t="s">
        <v>5</v>
      </c>
      <c r="C1" s="7" t="s">
        <v>6</v>
      </c>
      <c r="D1" s="11" t="s">
        <v>29</v>
      </c>
      <c r="E1" t="s">
        <v>30</v>
      </c>
    </row>
    <row r="2" spans="1:5" x14ac:dyDescent="0.25">
      <c r="A2" s="5" t="s">
        <v>7</v>
      </c>
      <c r="B2" s="6">
        <v>265</v>
      </c>
      <c r="C2" s="8">
        <v>46566.71</v>
      </c>
      <c r="E2" s="9">
        <f>AVERAGE(C2:C4)</f>
        <v>58044</v>
      </c>
    </row>
    <row r="3" spans="1:5" x14ac:dyDescent="0.25">
      <c r="A3" s="5" t="s">
        <v>8</v>
      </c>
      <c r="B3" s="6">
        <v>1</v>
      </c>
      <c r="C3" s="8">
        <v>19.62</v>
      </c>
      <c r="E3" s="9">
        <f t="shared" ref="E3:E23" si="0">AVERAGE(C3:C5)</f>
        <v>132954.64666666667</v>
      </c>
    </row>
    <row r="4" spans="1:5" x14ac:dyDescent="0.25">
      <c r="A4" s="5" t="s">
        <v>9</v>
      </c>
      <c r="B4" s="6">
        <v>750</v>
      </c>
      <c r="C4" s="8">
        <v>127545.67</v>
      </c>
      <c r="D4" s="11">
        <f t="shared" ref="D3:D23" si="1">(C5-C4)/C4</f>
        <v>1.1270706406575781</v>
      </c>
      <c r="E4" s="9">
        <f t="shared" si="0"/>
        <v>271071.23666666663</v>
      </c>
    </row>
    <row r="5" spans="1:5" x14ac:dyDescent="0.25">
      <c r="A5" s="5" t="s">
        <v>10</v>
      </c>
      <c r="B5" s="6">
        <v>1653</v>
      </c>
      <c r="C5" s="8">
        <v>271298.65000000002</v>
      </c>
      <c r="D5" s="11">
        <f t="shared" si="1"/>
        <v>0.52735514902119851</v>
      </c>
      <c r="E5" s="9">
        <f t="shared" si="0"/>
        <v>358873.40666666668</v>
      </c>
    </row>
    <row r="6" spans="1:5" x14ac:dyDescent="0.25">
      <c r="A6" s="5" t="s">
        <v>11</v>
      </c>
      <c r="B6" s="6">
        <v>2546</v>
      </c>
      <c r="C6" s="8">
        <v>414369.39</v>
      </c>
      <c r="D6" s="11">
        <f t="shared" si="1"/>
        <v>-5.651288576118043E-2</v>
      </c>
      <c r="E6" s="9">
        <f t="shared" si="0"/>
        <v>457462.76666666666</v>
      </c>
    </row>
    <row r="7" spans="1:5" x14ac:dyDescent="0.25">
      <c r="A7" s="5" t="s">
        <v>12</v>
      </c>
      <c r="B7" s="6">
        <v>2303</v>
      </c>
      <c r="C7" s="8">
        <v>390952.18</v>
      </c>
      <c r="D7" s="11">
        <f t="shared" si="1"/>
        <v>0.4504759380034663</v>
      </c>
      <c r="E7" s="9">
        <f t="shared" si="0"/>
        <v>482748.16999999993</v>
      </c>
    </row>
    <row r="8" spans="1:5" x14ac:dyDescent="0.25">
      <c r="A8" s="5" t="s">
        <v>13</v>
      </c>
      <c r="B8" s="6">
        <v>3546</v>
      </c>
      <c r="C8" s="8">
        <v>567066.73</v>
      </c>
      <c r="D8" s="11">
        <f t="shared" si="1"/>
        <v>-0.13550632744756513</v>
      </c>
      <c r="E8" s="9">
        <f t="shared" si="0"/>
        <v>541232.08666666679</v>
      </c>
    </row>
    <row r="9" spans="1:5" x14ac:dyDescent="0.25">
      <c r="A9" s="5" t="s">
        <v>14</v>
      </c>
      <c r="B9" s="6">
        <v>3135</v>
      </c>
      <c r="C9" s="8">
        <v>490225.6</v>
      </c>
      <c r="D9" s="11">
        <f t="shared" si="1"/>
        <v>0.15539443472556325</v>
      </c>
      <c r="E9" s="9">
        <f t="shared" si="0"/>
        <v>567543.38</v>
      </c>
    </row>
    <row r="10" spans="1:5" x14ac:dyDescent="0.25">
      <c r="A10" s="5" t="s">
        <v>15</v>
      </c>
      <c r="B10" s="6">
        <v>3872</v>
      </c>
      <c r="C10" s="8">
        <v>566403.93000000005</v>
      </c>
      <c r="D10" s="11">
        <f t="shared" si="1"/>
        <v>0.14052988650696674</v>
      </c>
      <c r="E10" s="9">
        <f t="shared" si="0"/>
        <v>637858.17666666664</v>
      </c>
    </row>
    <row r="11" spans="1:5" x14ac:dyDescent="0.25">
      <c r="A11" s="5" t="s">
        <v>16</v>
      </c>
      <c r="B11" s="6">
        <v>4193</v>
      </c>
      <c r="C11" s="8">
        <v>646000.61</v>
      </c>
      <c r="D11" s="11">
        <f t="shared" si="1"/>
        <v>8.5401436385640572E-2</v>
      </c>
      <c r="E11" s="9">
        <f t="shared" si="0"/>
        <v>699436.95666666667</v>
      </c>
    </row>
    <row r="12" spans="1:5" x14ac:dyDescent="0.25">
      <c r="A12" s="5" t="s">
        <v>17</v>
      </c>
      <c r="B12" s="6">
        <v>4150</v>
      </c>
      <c r="C12" s="8">
        <v>701169.99</v>
      </c>
      <c r="D12" s="11">
        <f t="shared" si="1"/>
        <v>7.126699760781266E-2</v>
      </c>
      <c r="E12" s="9">
        <f t="shared" si="0"/>
        <v>868612.77</v>
      </c>
    </row>
    <row r="13" spans="1:5" x14ac:dyDescent="0.25">
      <c r="A13" s="5" t="s">
        <v>18</v>
      </c>
      <c r="B13" s="6">
        <v>4478</v>
      </c>
      <c r="C13" s="8">
        <v>751140.27</v>
      </c>
      <c r="D13" s="11">
        <f t="shared" si="1"/>
        <v>0.53570257922664699</v>
      </c>
      <c r="E13" s="9">
        <f t="shared" si="0"/>
        <v>915955.83000000007</v>
      </c>
    </row>
    <row r="14" spans="1:5" x14ac:dyDescent="0.25">
      <c r="A14" s="5" t="s">
        <v>19</v>
      </c>
      <c r="B14" s="6">
        <v>7289</v>
      </c>
      <c r="C14" s="8">
        <v>1153528.05</v>
      </c>
      <c r="D14" s="11">
        <f t="shared" si="1"/>
        <v>-0.26902586374037457</v>
      </c>
      <c r="E14" s="9">
        <f t="shared" si="0"/>
        <v>1025111.36</v>
      </c>
    </row>
    <row r="15" spans="1:5" x14ac:dyDescent="0.25">
      <c r="A15" s="5" t="s">
        <v>20</v>
      </c>
      <c r="B15" s="6">
        <v>5513</v>
      </c>
      <c r="C15" s="8">
        <v>843199.17</v>
      </c>
      <c r="D15" s="11">
        <f t="shared" si="1"/>
        <v>0.27918396788744471</v>
      </c>
      <c r="E15" s="9">
        <f t="shared" si="0"/>
        <v>962772.30333333334</v>
      </c>
    </row>
    <row r="16" spans="1:5" x14ac:dyDescent="0.25">
      <c r="A16" s="5" t="s">
        <v>21</v>
      </c>
      <c r="B16" s="6">
        <v>7069</v>
      </c>
      <c r="C16" s="8">
        <v>1078606.8600000001</v>
      </c>
      <c r="D16" s="11">
        <f t="shared" si="1"/>
        <v>-0.10392663365779084</v>
      </c>
      <c r="E16" s="9">
        <f t="shared" si="0"/>
        <v>1055265.2466666668</v>
      </c>
    </row>
    <row r="17" spans="1:5" x14ac:dyDescent="0.25">
      <c r="A17" s="5" t="s">
        <v>22</v>
      </c>
      <c r="B17" s="6">
        <v>6555</v>
      </c>
      <c r="C17" s="8">
        <v>966510.88</v>
      </c>
      <c r="D17" s="11">
        <f t="shared" si="1"/>
        <v>0.15950893382596995</v>
      </c>
      <c r="E17" s="9">
        <f t="shared" si="0"/>
        <v>1073374.2766666666</v>
      </c>
    </row>
    <row r="18" spans="1:5" x14ac:dyDescent="0.25">
      <c r="A18" s="5" t="s">
        <v>23</v>
      </c>
      <c r="B18" s="6">
        <v>7003</v>
      </c>
      <c r="C18" s="8">
        <v>1120678</v>
      </c>
      <c r="D18" s="11">
        <f t="shared" si="1"/>
        <v>1.0936192197937279E-2</v>
      </c>
      <c r="E18" s="9">
        <f t="shared" si="0"/>
        <v>1127482.8800000001</v>
      </c>
    </row>
    <row r="19" spans="1:5" x14ac:dyDescent="0.25">
      <c r="A19" s="5" t="s">
        <v>24</v>
      </c>
      <c r="B19" s="6">
        <v>6798</v>
      </c>
      <c r="C19" s="8">
        <v>1132933.95</v>
      </c>
      <c r="D19" s="11">
        <f t="shared" si="1"/>
        <v>-3.6165038570871756E-3</v>
      </c>
      <c r="E19" s="9">
        <f t="shared" si="0"/>
        <v>1091287.1066666667</v>
      </c>
    </row>
    <row r="20" spans="1:5" x14ac:dyDescent="0.25">
      <c r="A20" s="5" t="s">
        <v>25</v>
      </c>
      <c r="B20" s="6">
        <v>6749</v>
      </c>
      <c r="C20" s="8">
        <v>1128836.69</v>
      </c>
      <c r="D20" s="11">
        <f t="shared" si="1"/>
        <v>-0.1034215232674621</v>
      </c>
      <c r="E20" s="9">
        <f t="shared" si="0"/>
        <v>1056277.0766666667</v>
      </c>
    </row>
    <row r="21" spans="1:5" x14ac:dyDescent="0.25">
      <c r="A21" s="5" t="s">
        <v>26</v>
      </c>
      <c r="B21" s="6">
        <v>6099</v>
      </c>
      <c r="C21" s="8">
        <v>1012090.68</v>
      </c>
      <c r="D21" s="11">
        <f t="shared" si="1"/>
        <v>1.562427192788687E-2</v>
      </c>
      <c r="E21" s="9">
        <f t="shared" si="0"/>
        <v>1008469.6066666668</v>
      </c>
    </row>
    <row r="22" spans="1:5" x14ac:dyDescent="0.25">
      <c r="A22" s="5" t="s">
        <v>27</v>
      </c>
      <c r="B22" s="6">
        <v>6159</v>
      </c>
      <c r="C22" s="8">
        <v>1027903.86</v>
      </c>
      <c r="D22" s="11">
        <f t="shared" si="1"/>
        <v>-4.1336142078501351E-2</v>
      </c>
      <c r="E22" s="9">
        <f t="shared" si="0"/>
        <v>1006659.0700000001</v>
      </c>
    </row>
    <row r="23" spans="1:5" x14ac:dyDescent="0.25">
      <c r="A23" s="5" t="s">
        <v>28</v>
      </c>
      <c r="B23" s="6">
        <v>6351</v>
      </c>
      <c r="C23" s="8">
        <v>985414.28</v>
      </c>
      <c r="E23" s="9">
        <f t="shared" si="0"/>
        <v>985414.28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90" zoomScaleNormal="90" workbookViewId="0">
      <selection activeCell="L25" sqref="L25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5.42578125" style="12" bestFit="1" customWidth="1"/>
    <col min="4" max="4" width="14.28515625" style="13" bestFit="1" customWidth="1"/>
    <col min="5" max="5" width="13.85546875" style="10" bestFit="1" customWidth="1"/>
  </cols>
  <sheetData>
    <row r="1" spans="1:5" x14ac:dyDescent="0.25">
      <c r="A1" t="s">
        <v>31</v>
      </c>
      <c r="B1" t="s">
        <v>5</v>
      </c>
      <c r="C1" s="12" t="s">
        <v>6</v>
      </c>
      <c r="D1" s="13" t="s">
        <v>32</v>
      </c>
      <c r="E1" s="10" t="s">
        <v>43</v>
      </c>
    </row>
    <row r="2" spans="1:5" x14ac:dyDescent="0.25">
      <c r="A2" t="s">
        <v>33</v>
      </c>
      <c r="B2">
        <v>8836</v>
      </c>
      <c r="C2" s="12">
        <v>1258681.3400000001</v>
      </c>
      <c r="D2" s="13">
        <v>130.16</v>
      </c>
      <c r="E2" s="10">
        <f>C2/SUM($C$2:$C$11)</f>
        <v>0.14850019376453791</v>
      </c>
    </row>
    <row r="3" spans="1:5" x14ac:dyDescent="0.25">
      <c r="A3" t="s">
        <v>34</v>
      </c>
      <c r="B3">
        <v>5624</v>
      </c>
      <c r="C3" s="12">
        <v>1205005.68</v>
      </c>
      <c r="D3" s="13">
        <v>201.14</v>
      </c>
      <c r="E3" s="10">
        <f>C3/SUM($C$2:$C$11)</f>
        <v>0.14216749806378218</v>
      </c>
    </row>
    <row r="4" spans="1:5" x14ac:dyDescent="0.25">
      <c r="A4" t="s">
        <v>35</v>
      </c>
      <c r="B4">
        <v>9417</v>
      </c>
      <c r="C4" s="12">
        <v>1036988.68</v>
      </c>
      <c r="D4" s="13">
        <v>93.3</v>
      </c>
      <c r="E4" s="10">
        <f>C4/SUM($C$2:$C$11)</f>
        <v>0.12234472301911808</v>
      </c>
    </row>
    <row r="5" spans="1:5" x14ac:dyDescent="0.25">
      <c r="A5" t="s">
        <v>36</v>
      </c>
      <c r="B5">
        <v>7720</v>
      </c>
      <c r="C5" s="12">
        <v>988048.97</v>
      </c>
      <c r="D5" s="13">
        <v>114.34</v>
      </c>
      <c r="E5" s="10">
        <f>C5/SUM($C$2:$C$11)</f>
        <v>0.1165707783463701</v>
      </c>
    </row>
    <row r="6" spans="1:5" x14ac:dyDescent="0.25">
      <c r="A6" t="s">
        <v>37</v>
      </c>
      <c r="B6">
        <v>6689</v>
      </c>
      <c r="C6" s="12">
        <v>911954.32</v>
      </c>
      <c r="D6" s="13">
        <v>116.51</v>
      </c>
      <c r="E6" s="10">
        <f>C6/SUM($C$2:$C$11)</f>
        <v>0.1075930729412477</v>
      </c>
    </row>
    <row r="7" spans="1:5" x14ac:dyDescent="0.25">
      <c r="A7" t="s">
        <v>38</v>
      </c>
      <c r="B7">
        <v>6449</v>
      </c>
      <c r="C7" s="12">
        <v>729762.49</v>
      </c>
      <c r="D7" s="13">
        <v>87.56</v>
      </c>
      <c r="E7" s="10">
        <f>C7/SUM($C$2:$C$11)</f>
        <v>8.6097940537588055E-2</v>
      </c>
    </row>
    <row r="8" spans="1:5" x14ac:dyDescent="0.25">
      <c r="A8" t="s">
        <v>39</v>
      </c>
      <c r="B8">
        <v>3632</v>
      </c>
      <c r="C8" s="12">
        <v>635290.85</v>
      </c>
      <c r="D8" s="13">
        <v>167.36</v>
      </c>
      <c r="E8" s="10">
        <f>C8/SUM($C$2:$C$11)</f>
        <v>7.4952103700717435E-2</v>
      </c>
    </row>
    <row r="9" spans="1:5" x14ac:dyDescent="0.25">
      <c r="A9" t="s">
        <v>40</v>
      </c>
      <c r="B9">
        <v>5884</v>
      </c>
      <c r="C9" s="12">
        <v>632248.66</v>
      </c>
      <c r="D9" s="13">
        <v>90.79</v>
      </c>
      <c r="E9" s="10">
        <f>C9/SUM($C$2:$C$11)</f>
        <v>7.4593183781821573E-2</v>
      </c>
    </row>
    <row r="10" spans="1:5" x14ac:dyDescent="0.25">
      <c r="A10" t="s">
        <v>41</v>
      </c>
      <c r="B10">
        <v>3897</v>
      </c>
      <c r="C10" s="12">
        <v>592720.11</v>
      </c>
      <c r="D10" s="13">
        <v>139.96</v>
      </c>
      <c r="E10" s="10">
        <f>C10/SUM($C$2:$C$11)</f>
        <v>6.9929575013115086E-2</v>
      </c>
    </row>
    <row r="11" spans="1:5" x14ac:dyDescent="0.25">
      <c r="A11" t="s">
        <v>42</v>
      </c>
      <c r="B11">
        <v>3518</v>
      </c>
      <c r="C11" s="12">
        <v>485256.46</v>
      </c>
      <c r="D11" s="13">
        <v>111.63</v>
      </c>
      <c r="E11" s="10">
        <f>C11/SUM($C$2:$C$11)</f>
        <v>5.7250930831701803E-2</v>
      </c>
    </row>
  </sheetData>
  <sortState ref="A2:E11">
    <sortCondition descending="1" ref="C2:C11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N15" sqref="N15"/>
    </sheetView>
  </sheetViews>
  <sheetFormatPr defaultRowHeight="15" x14ac:dyDescent="0.25"/>
  <cols>
    <col min="1" max="1" width="18" bestFit="1" customWidth="1"/>
    <col min="2" max="2" width="28.5703125" bestFit="1" customWidth="1"/>
  </cols>
  <sheetData>
    <row r="3" spans="1:2" x14ac:dyDescent="0.25">
      <c r="A3" s="14" t="s">
        <v>80</v>
      </c>
      <c r="B3" t="s">
        <v>82</v>
      </c>
    </row>
    <row r="4" spans="1:2" x14ac:dyDescent="0.25">
      <c r="A4" s="15" t="s">
        <v>77</v>
      </c>
      <c r="B4" s="17">
        <v>15.125</v>
      </c>
    </row>
    <row r="5" spans="1:2" x14ac:dyDescent="0.25">
      <c r="A5" s="15" t="s">
        <v>76</v>
      </c>
      <c r="B5" s="17">
        <v>20.177777777777777</v>
      </c>
    </row>
    <row r="6" spans="1:2" x14ac:dyDescent="0.25">
      <c r="A6" s="15" t="s">
        <v>75</v>
      </c>
      <c r="B6" s="17">
        <v>23.099999999999998</v>
      </c>
    </row>
    <row r="7" spans="1:2" x14ac:dyDescent="0.25">
      <c r="A7" s="15" t="s">
        <v>78</v>
      </c>
      <c r="B7" s="17">
        <v>12.475000000000001</v>
      </c>
    </row>
    <row r="8" spans="1:2" x14ac:dyDescent="0.25">
      <c r="A8" s="15" t="s">
        <v>79</v>
      </c>
      <c r="B8" s="17">
        <v>13.6</v>
      </c>
    </row>
    <row r="9" spans="1:2" x14ac:dyDescent="0.25">
      <c r="A9" s="15" t="s">
        <v>81</v>
      </c>
      <c r="B9" s="17">
        <v>18.314814814814817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K12" sqref="K12"/>
    </sheetView>
  </sheetViews>
  <sheetFormatPr defaultRowHeight="15" x14ac:dyDescent="0.25"/>
  <cols>
    <col min="1" max="1" width="7" bestFit="1" customWidth="1"/>
    <col min="2" max="2" width="13.42578125" bestFit="1" customWidth="1"/>
    <col min="3" max="3" width="19.42578125" style="16" bestFit="1" customWidth="1"/>
    <col min="4" max="4" width="21.5703125" bestFit="1" customWidth="1"/>
  </cols>
  <sheetData>
    <row r="1" spans="1:5" x14ac:dyDescent="0.25">
      <c r="A1" t="s">
        <v>44</v>
      </c>
      <c r="B1" t="s">
        <v>5</v>
      </c>
      <c r="C1" s="16" t="s">
        <v>45</v>
      </c>
      <c r="D1" t="s">
        <v>46</v>
      </c>
      <c r="E1" t="s">
        <v>74</v>
      </c>
    </row>
    <row r="2" spans="1:5" x14ac:dyDescent="0.25">
      <c r="A2" t="s">
        <v>47</v>
      </c>
      <c r="B2">
        <v>41</v>
      </c>
      <c r="C2" s="16">
        <v>29</v>
      </c>
      <c r="D2">
        <v>16.399999999999999</v>
      </c>
      <c r="E2" t="s">
        <v>75</v>
      </c>
    </row>
    <row r="3" spans="1:5" x14ac:dyDescent="0.25">
      <c r="A3" t="s">
        <v>48</v>
      </c>
      <c r="B3">
        <v>67</v>
      </c>
      <c r="C3" s="16">
        <v>26.7</v>
      </c>
      <c r="D3">
        <v>18.7</v>
      </c>
      <c r="E3" t="s">
        <v>75</v>
      </c>
    </row>
    <row r="4" spans="1:5" x14ac:dyDescent="0.25">
      <c r="A4" t="s">
        <v>49</v>
      </c>
      <c r="B4">
        <v>145</v>
      </c>
      <c r="C4" s="16">
        <v>26</v>
      </c>
      <c r="D4">
        <v>18.600000000000001</v>
      </c>
      <c r="E4" t="s">
        <v>75</v>
      </c>
    </row>
    <row r="5" spans="1:5" x14ac:dyDescent="0.25">
      <c r="A5" t="s">
        <v>50</v>
      </c>
      <c r="B5">
        <v>397</v>
      </c>
      <c r="C5" s="16">
        <v>24</v>
      </c>
      <c r="D5">
        <v>7.9</v>
      </c>
      <c r="E5" t="s">
        <v>76</v>
      </c>
    </row>
    <row r="6" spans="1:5" x14ac:dyDescent="0.25">
      <c r="A6" t="s">
        <v>51</v>
      </c>
      <c r="B6">
        <v>946</v>
      </c>
      <c r="C6" s="16">
        <v>23.3</v>
      </c>
      <c r="D6">
        <v>13.2</v>
      </c>
      <c r="E6" t="s">
        <v>75</v>
      </c>
    </row>
    <row r="7" spans="1:5" x14ac:dyDescent="0.25">
      <c r="A7" t="s">
        <v>52</v>
      </c>
      <c r="B7">
        <v>717</v>
      </c>
      <c r="C7" s="16">
        <v>21.1</v>
      </c>
      <c r="D7">
        <v>8.8000000000000007</v>
      </c>
      <c r="E7" t="s">
        <v>76</v>
      </c>
    </row>
    <row r="8" spans="1:5" x14ac:dyDescent="0.25">
      <c r="A8" t="s">
        <v>53</v>
      </c>
      <c r="B8">
        <v>335</v>
      </c>
      <c r="C8" s="16">
        <v>21</v>
      </c>
      <c r="D8">
        <v>9.1999999999999993</v>
      </c>
      <c r="E8" t="s">
        <v>76</v>
      </c>
    </row>
    <row r="9" spans="1:5" x14ac:dyDescent="0.25">
      <c r="A9" t="s">
        <v>54</v>
      </c>
      <c r="B9">
        <v>1279</v>
      </c>
      <c r="C9" s="16">
        <v>20.8</v>
      </c>
      <c r="D9">
        <v>10</v>
      </c>
      <c r="E9" t="s">
        <v>76</v>
      </c>
    </row>
    <row r="10" spans="1:5" x14ac:dyDescent="0.25">
      <c r="A10" t="s">
        <v>55</v>
      </c>
      <c r="B10">
        <v>80</v>
      </c>
      <c r="C10" s="16">
        <v>20.6</v>
      </c>
      <c r="D10">
        <v>19.8</v>
      </c>
      <c r="E10" t="s">
        <v>75</v>
      </c>
    </row>
    <row r="11" spans="1:5" x14ac:dyDescent="0.25">
      <c r="A11" t="s">
        <v>56</v>
      </c>
      <c r="B11">
        <v>517</v>
      </c>
      <c r="C11" s="16">
        <v>20</v>
      </c>
      <c r="D11">
        <v>12.4</v>
      </c>
      <c r="E11" t="s">
        <v>76</v>
      </c>
    </row>
    <row r="12" spans="1:5" x14ac:dyDescent="0.25">
      <c r="A12" t="s">
        <v>57</v>
      </c>
      <c r="B12">
        <v>476</v>
      </c>
      <c r="C12" s="16">
        <v>19</v>
      </c>
      <c r="D12">
        <v>10.5</v>
      </c>
      <c r="E12" t="s">
        <v>76</v>
      </c>
    </row>
    <row r="13" spans="1:5" x14ac:dyDescent="0.25">
      <c r="A13" t="s">
        <v>58</v>
      </c>
      <c r="B13">
        <v>243</v>
      </c>
      <c r="C13" s="16">
        <v>18.899999999999999</v>
      </c>
      <c r="D13">
        <v>19.100000000000001</v>
      </c>
      <c r="E13" t="s">
        <v>75</v>
      </c>
    </row>
    <row r="14" spans="1:5" x14ac:dyDescent="0.25">
      <c r="A14" t="s">
        <v>59</v>
      </c>
      <c r="B14">
        <v>3256</v>
      </c>
      <c r="C14" s="16">
        <v>18.899999999999999</v>
      </c>
      <c r="D14">
        <v>9.9</v>
      </c>
      <c r="E14" t="s">
        <v>76</v>
      </c>
    </row>
    <row r="15" spans="1:5" x14ac:dyDescent="0.25">
      <c r="A15" t="s">
        <v>60</v>
      </c>
      <c r="B15">
        <v>474</v>
      </c>
      <c r="C15" s="16">
        <v>18.8</v>
      </c>
      <c r="D15">
        <v>12.8</v>
      </c>
      <c r="E15" t="s">
        <v>76</v>
      </c>
    </row>
    <row r="16" spans="1:5" x14ac:dyDescent="0.25">
      <c r="A16" t="s">
        <v>61</v>
      </c>
      <c r="B16">
        <v>1593</v>
      </c>
      <c r="C16" s="16">
        <v>18</v>
      </c>
      <c r="D16">
        <v>12.4</v>
      </c>
      <c r="E16" t="s">
        <v>76</v>
      </c>
    </row>
    <row r="17" spans="1:5" x14ac:dyDescent="0.25">
      <c r="A17" t="s">
        <v>62</v>
      </c>
      <c r="B17">
        <v>886</v>
      </c>
      <c r="C17" s="16">
        <v>17.600000000000001</v>
      </c>
      <c r="D17">
        <v>13.4</v>
      </c>
      <c r="E17" t="s">
        <v>77</v>
      </c>
    </row>
    <row r="18" spans="1:5" x14ac:dyDescent="0.25">
      <c r="A18" t="s">
        <v>63</v>
      </c>
      <c r="B18">
        <v>274</v>
      </c>
      <c r="C18" s="16">
        <v>17.2</v>
      </c>
      <c r="D18">
        <v>11.3</v>
      </c>
      <c r="E18" t="s">
        <v>75</v>
      </c>
    </row>
    <row r="19" spans="1:5" x14ac:dyDescent="0.25">
      <c r="A19" t="s">
        <v>64</v>
      </c>
      <c r="B19">
        <v>1995</v>
      </c>
      <c r="C19" s="16">
        <v>15.3</v>
      </c>
      <c r="D19">
        <v>9.6</v>
      </c>
      <c r="E19" t="s">
        <v>78</v>
      </c>
    </row>
    <row r="20" spans="1:5" x14ac:dyDescent="0.25">
      <c r="A20" t="s">
        <v>65</v>
      </c>
      <c r="B20">
        <v>1957</v>
      </c>
      <c r="C20" s="16">
        <v>15.2</v>
      </c>
      <c r="D20">
        <v>11.3</v>
      </c>
      <c r="E20" t="s">
        <v>77</v>
      </c>
    </row>
    <row r="21" spans="1:5" x14ac:dyDescent="0.25">
      <c r="A21" t="s">
        <v>66</v>
      </c>
      <c r="B21">
        <v>701</v>
      </c>
      <c r="C21" s="16">
        <v>15.2</v>
      </c>
      <c r="D21">
        <v>10.199999999999999</v>
      </c>
      <c r="E21" t="s">
        <v>77</v>
      </c>
    </row>
    <row r="22" spans="1:5" x14ac:dyDescent="0.25">
      <c r="A22" t="s">
        <v>67</v>
      </c>
      <c r="B22">
        <v>5344</v>
      </c>
      <c r="C22" s="16">
        <v>14.8</v>
      </c>
      <c r="D22">
        <v>13</v>
      </c>
      <c r="E22" t="s">
        <v>79</v>
      </c>
    </row>
    <row r="23" spans="1:5" x14ac:dyDescent="0.25">
      <c r="A23" t="s">
        <v>68</v>
      </c>
      <c r="B23">
        <v>12353</v>
      </c>
      <c r="C23" s="16">
        <v>14.8</v>
      </c>
      <c r="D23">
        <v>10.9</v>
      </c>
      <c r="E23" t="s">
        <v>78</v>
      </c>
    </row>
    <row r="24" spans="1:5" x14ac:dyDescent="0.25">
      <c r="A24" t="s">
        <v>69</v>
      </c>
      <c r="B24">
        <v>3547</v>
      </c>
      <c r="C24" s="16">
        <v>14.5</v>
      </c>
      <c r="D24">
        <v>10.6</v>
      </c>
      <c r="E24" t="s">
        <v>79</v>
      </c>
    </row>
    <row r="25" spans="1:5" x14ac:dyDescent="0.25">
      <c r="A25" t="s">
        <v>70</v>
      </c>
      <c r="B25">
        <v>2080</v>
      </c>
      <c r="C25" s="16">
        <v>12.5</v>
      </c>
      <c r="D25">
        <v>11.1</v>
      </c>
      <c r="E25" t="s">
        <v>77</v>
      </c>
    </row>
    <row r="26" spans="1:5" x14ac:dyDescent="0.25">
      <c r="A26" t="s">
        <v>71</v>
      </c>
      <c r="B26">
        <v>4923</v>
      </c>
      <c r="C26" s="16">
        <v>11.5</v>
      </c>
      <c r="D26">
        <v>12.4</v>
      </c>
      <c r="E26" t="s">
        <v>79</v>
      </c>
    </row>
    <row r="27" spans="1:5" x14ac:dyDescent="0.25">
      <c r="A27" t="s">
        <v>72</v>
      </c>
      <c r="B27">
        <v>11355</v>
      </c>
      <c r="C27" s="16">
        <v>11.5</v>
      </c>
      <c r="D27">
        <v>12.3</v>
      </c>
      <c r="E27" t="s">
        <v>78</v>
      </c>
    </row>
    <row r="28" spans="1:5" x14ac:dyDescent="0.25">
      <c r="A28" t="s">
        <v>73</v>
      </c>
      <c r="B28">
        <v>40495</v>
      </c>
      <c r="C28" s="16">
        <v>8.3000000000000007</v>
      </c>
      <c r="D28">
        <v>10.1</v>
      </c>
      <c r="E28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P15" sqref="P15"/>
    </sheetView>
  </sheetViews>
  <sheetFormatPr defaultRowHeight="15" x14ac:dyDescent="0.25"/>
  <cols>
    <col min="1" max="1" width="16.28515625" bestFit="1" customWidth="1"/>
    <col min="2" max="2" width="13.42578125" bestFit="1" customWidth="1"/>
    <col min="3" max="3" width="11.5703125" bestFit="1" customWidth="1"/>
  </cols>
  <sheetData>
    <row r="1" spans="1:3" x14ac:dyDescent="0.25">
      <c r="A1" t="s">
        <v>83</v>
      </c>
      <c r="B1" t="s">
        <v>5</v>
      </c>
      <c r="C1" t="s">
        <v>84</v>
      </c>
    </row>
    <row r="2" spans="1:3" x14ac:dyDescent="0.25">
      <c r="A2" t="s">
        <v>85</v>
      </c>
      <c r="B2">
        <v>66006</v>
      </c>
      <c r="C2">
        <v>4.3</v>
      </c>
    </row>
    <row r="3" spans="1:3" x14ac:dyDescent="0.25">
      <c r="A3" t="s">
        <v>86</v>
      </c>
      <c r="B3">
        <v>2558</v>
      </c>
      <c r="C3">
        <v>4.12</v>
      </c>
    </row>
    <row r="4" spans="1:3" x14ac:dyDescent="0.25">
      <c r="A4" t="s">
        <v>87</v>
      </c>
      <c r="B4">
        <v>2126</v>
      </c>
      <c r="C4">
        <v>4.09</v>
      </c>
    </row>
    <row r="5" spans="1:3" x14ac:dyDescent="0.25">
      <c r="A5" t="s">
        <v>88</v>
      </c>
      <c r="B5">
        <v>1446</v>
      </c>
      <c r="C5">
        <v>3.27</v>
      </c>
    </row>
    <row r="6" spans="1:3" x14ac:dyDescent="0.25">
      <c r="A6" t="s">
        <v>89</v>
      </c>
      <c r="B6">
        <v>3550</v>
      </c>
      <c r="C6">
        <v>1.85</v>
      </c>
    </row>
  </sheetData>
  <conditionalFormatting sqref="C1:C1048576">
    <cfRule type="colorScale" priority="1">
      <colorScale>
        <cfvo type="min"/>
        <cfvo type="percentile" val="50"/>
        <cfvo type="max"/>
        <color rgb="FFC00000"/>
        <color rgb="FFFFC000"/>
        <color rgb="FF18901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Capa</vt:lpstr>
      <vt:lpstr>Receita_Mensal</vt:lpstr>
      <vt:lpstr>Top_Categorias</vt:lpstr>
      <vt:lpstr>Tabela_regiao</vt:lpstr>
      <vt:lpstr>Entrega_por_Estado</vt:lpstr>
      <vt:lpstr>Atraso_vs_Satisfação</vt:lpstr>
      <vt:lpstr>Atraso_vs_Satisfação!atraso_satisfacao.csv</vt:lpstr>
      <vt:lpstr>Entrega_por_Estado!entrega_estados.csv</vt:lpstr>
      <vt:lpstr>Receita_Mensal!receita_mensal.csv</vt:lpstr>
      <vt:lpstr>Top_Categorias!top_categorias.csv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S Souza</dc:creator>
  <cp:lastModifiedBy>Aline S Souza</cp:lastModifiedBy>
  <dcterms:created xsi:type="dcterms:W3CDTF">2026-05-15T18:32:52Z</dcterms:created>
  <dcterms:modified xsi:type="dcterms:W3CDTF">2026-05-22T20:32:30Z</dcterms:modified>
</cp:coreProperties>
</file>